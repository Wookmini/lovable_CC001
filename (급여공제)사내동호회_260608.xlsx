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tigravity\동호회\lovable_CC001\"/>
    </mc:Choice>
  </mc:AlternateContent>
  <xr:revisionPtr revIDLastSave="0" documentId="13_ncr:1_{5064E924-1518-418D-A81F-7225B2D25CC7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26년 4월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7" i="3" l="1"/>
  <c r="B25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42" i="3" l="1"/>
  <c r="D31" i="3" l="1"/>
  <c r="D30" i="3"/>
  <c r="D29" i="3"/>
  <c r="D28" i="3"/>
  <c r="D27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H69" i="3" s="1"/>
  <c r="H67" i="3" l="1"/>
  <c r="H85" i="3"/>
  <c r="H84" i="3"/>
  <c r="H65" i="3"/>
  <c r="H74" i="3"/>
  <c r="H58" i="3"/>
  <c r="H91" i="3"/>
  <c r="H89" i="3"/>
  <c r="H88" i="3"/>
  <c r="H87" i="3"/>
  <c r="H86" i="3"/>
  <c r="H90" i="3"/>
  <c r="H73" i="3"/>
  <c r="H46" i="3"/>
  <c r="H44" i="3"/>
  <c r="H45" i="3"/>
  <c r="H11" i="3"/>
  <c r="H43" i="3"/>
  <c r="H24" i="3"/>
  <c r="H83" i="3"/>
  <c r="H13" i="3"/>
  <c r="H14" i="3"/>
  <c r="H17" i="3"/>
  <c r="H20" i="3"/>
  <c r="H37" i="3"/>
  <c r="H60" i="3"/>
  <c r="H78" i="3"/>
  <c r="H48" i="3"/>
  <c r="H53" i="3"/>
  <c r="H72" i="3"/>
  <c r="H18" i="3"/>
  <c r="H21" i="3"/>
  <c r="H38" i="3"/>
  <c r="H61" i="3"/>
  <c r="H79" i="3"/>
  <c r="H49" i="3"/>
  <c r="H50" i="3"/>
  <c r="H51" i="3"/>
  <c r="H33" i="3"/>
  <c r="H35" i="3"/>
  <c r="H77" i="3"/>
  <c r="H22" i="3"/>
  <c r="H39" i="3"/>
  <c r="H62" i="3"/>
  <c r="H80" i="3"/>
  <c r="H82" i="3"/>
  <c r="H66" i="3"/>
  <c r="H68" i="3"/>
  <c r="H52" i="3"/>
  <c r="H71" i="3"/>
  <c r="H36" i="3"/>
  <c r="H59" i="3"/>
  <c r="H23" i="3"/>
  <c r="H40" i="3"/>
  <c r="H63" i="3"/>
  <c r="H81" i="3"/>
  <c r="H64" i="3"/>
  <c r="H70" i="3"/>
  <c r="H54" i="3"/>
  <c r="H55" i="3"/>
  <c r="H56" i="3"/>
  <c r="H57" i="3"/>
  <c r="H41" i="3"/>
  <c r="H47" i="3"/>
  <c r="H32" i="3"/>
  <c r="H34" i="3"/>
  <c r="H75" i="3"/>
  <c r="H76" i="3"/>
  <c r="H19" i="3"/>
  <c r="H28" i="3"/>
  <c r="H27" i="3"/>
  <c r="H29" i="3"/>
  <c r="H5" i="3"/>
  <c r="H30" i="3"/>
  <c r="H15" i="3"/>
  <c r="H31" i="3"/>
  <c r="H12" i="3"/>
  <c r="H16" i="3"/>
  <c r="H7" i="3"/>
  <c r="H10" i="3"/>
  <c r="H6" i="3"/>
  <c r="H8" i="3"/>
  <c r="H9" i="3"/>
  <c r="H42" i="3"/>
</calcChain>
</file>

<file path=xl/sharedStrings.xml><?xml version="1.0" encoding="utf-8"?>
<sst xmlns="http://schemas.openxmlformats.org/spreadsheetml/2006/main" count="191" uniqueCount="93">
  <si>
    <t>구분</t>
    <phoneticPr fontId="4" type="noConversion"/>
  </si>
  <si>
    <t>사번</t>
    <phoneticPr fontId="4" type="noConversion"/>
  </si>
  <si>
    <t>성명</t>
    <phoneticPr fontId="6" type="noConversion"/>
  </si>
  <si>
    <t>금액</t>
    <phoneticPr fontId="4" type="noConversion"/>
  </si>
  <si>
    <t>비고</t>
    <phoneticPr fontId="4" type="noConversion"/>
  </si>
  <si>
    <t>박정태</t>
  </si>
  <si>
    <t>고재홍</t>
  </si>
  <si>
    <t>동호회명</t>
    <phoneticPr fontId="2" type="noConversion"/>
  </si>
  <si>
    <t>김산홍</t>
  </si>
  <si>
    <t>노상훈</t>
  </si>
  <si>
    <t>성재웅</t>
  </si>
  <si>
    <t>소순만</t>
  </si>
  <si>
    <t>손선규</t>
  </si>
  <si>
    <t>신현진</t>
  </si>
  <si>
    <t>이상태</t>
  </si>
  <si>
    <t>조영아</t>
  </si>
  <si>
    <t>박상현</t>
  </si>
  <si>
    <t>김기일</t>
  </si>
  <si>
    <t>여승진</t>
  </si>
  <si>
    <t>박천위</t>
  </si>
  <si>
    <t>사내동호회 급여공제 자료</t>
    <phoneticPr fontId="4" type="noConversion"/>
  </si>
  <si>
    <t>홍형도</t>
    <phoneticPr fontId="2" type="noConversion"/>
  </si>
  <si>
    <t>On-Gym</t>
    <phoneticPr fontId="2" type="noConversion"/>
  </si>
  <si>
    <t>조주현</t>
    <phoneticPr fontId="2" type="noConversion"/>
  </si>
  <si>
    <t>김희진</t>
    <phoneticPr fontId="2" type="noConversion"/>
  </si>
  <si>
    <t>이종래</t>
    <phoneticPr fontId="2" type="noConversion"/>
  </si>
  <si>
    <t>김민선</t>
    <phoneticPr fontId="2" type="noConversion"/>
  </si>
  <si>
    <t>유제열</t>
    <phoneticPr fontId="2" type="noConversion"/>
  </si>
  <si>
    <t>김도현</t>
    <phoneticPr fontId="2" type="noConversion"/>
  </si>
  <si>
    <t>유상민</t>
  </si>
  <si>
    <t>마평식</t>
  </si>
  <si>
    <t>이정호</t>
  </si>
  <si>
    <t>정호용</t>
  </si>
  <si>
    <t>정영욱</t>
    <phoneticPr fontId="2" type="noConversion"/>
  </si>
  <si>
    <t>온그린</t>
  </si>
  <si>
    <t>박태용</t>
    <phoneticPr fontId="2" type="noConversion"/>
  </si>
  <si>
    <t>DBG탁구</t>
  </si>
  <si>
    <t>DBG탁구</t>
    <phoneticPr fontId="2" type="noConversion"/>
  </si>
  <si>
    <t>윤성탁</t>
    <phoneticPr fontId="2" type="noConversion"/>
  </si>
  <si>
    <t>물고기와</t>
    <phoneticPr fontId="2" type="noConversion"/>
  </si>
  <si>
    <t>배윤미</t>
    <phoneticPr fontId="2" type="noConversion"/>
  </si>
  <si>
    <t>백종대</t>
    <phoneticPr fontId="2" type="noConversion"/>
  </si>
  <si>
    <t>주양중</t>
    <phoneticPr fontId="2" type="noConversion"/>
  </si>
  <si>
    <t>이조운</t>
    <phoneticPr fontId="2" type="noConversion"/>
  </si>
  <si>
    <t>장승원</t>
    <phoneticPr fontId="2" type="noConversion"/>
  </si>
  <si>
    <t>김승중</t>
    <phoneticPr fontId="2" type="noConversion"/>
  </si>
  <si>
    <t>권성재</t>
    <phoneticPr fontId="2" type="noConversion"/>
  </si>
  <si>
    <t>김병용</t>
    <phoneticPr fontId="2" type="noConversion"/>
  </si>
  <si>
    <t>이경원</t>
    <phoneticPr fontId="2" type="noConversion"/>
  </si>
  <si>
    <t>송시연</t>
    <phoneticPr fontId="2" type="noConversion"/>
  </si>
  <si>
    <t>꼼지락</t>
    <phoneticPr fontId="2" type="noConversion"/>
  </si>
  <si>
    <t>변지수</t>
    <phoneticPr fontId="2" type="noConversion"/>
  </si>
  <si>
    <t>임나영</t>
    <phoneticPr fontId="2" type="noConversion"/>
  </si>
  <si>
    <t>도복순</t>
    <phoneticPr fontId="2" type="noConversion"/>
  </si>
  <si>
    <t>윤추실</t>
    <phoneticPr fontId="2" type="noConversion"/>
  </si>
  <si>
    <t>반기환</t>
    <phoneticPr fontId="2" type="noConversion"/>
  </si>
  <si>
    <t>김희준</t>
    <phoneticPr fontId="2" type="noConversion"/>
  </si>
  <si>
    <t>강완규</t>
    <phoneticPr fontId="2" type="noConversion"/>
  </si>
  <si>
    <t>문보영</t>
    <phoneticPr fontId="2" type="noConversion"/>
  </si>
  <si>
    <t>인병화</t>
    <phoneticPr fontId="2" type="noConversion"/>
  </si>
  <si>
    <t>유상민</t>
    <phoneticPr fontId="2" type="noConversion"/>
  </si>
  <si>
    <t>김수민</t>
    <phoneticPr fontId="2" type="noConversion"/>
  </si>
  <si>
    <t>이명학</t>
    <phoneticPr fontId="2" type="noConversion"/>
  </si>
  <si>
    <t>김영민</t>
    <phoneticPr fontId="2" type="noConversion"/>
  </si>
  <si>
    <t>이승민</t>
    <phoneticPr fontId="2" type="noConversion"/>
  </si>
  <si>
    <t>윤신</t>
    <phoneticPr fontId="2" type="noConversion"/>
  </si>
  <si>
    <t>정세민</t>
    <phoneticPr fontId="2" type="noConversion"/>
  </si>
  <si>
    <t>목정수</t>
    <phoneticPr fontId="2" type="noConversion"/>
  </si>
  <si>
    <t>DBG FC</t>
    <phoneticPr fontId="2" type="noConversion"/>
  </si>
  <si>
    <t>김민건</t>
    <phoneticPr fontId="2" type="noConversion"/>
  </si>
  <si>
    <t>성재웅</t>
    <phoneticPr fontId="2" type="noConversion"/>
  </si>
  <si>
    <t>최수임</t>
    <phoneticPr fontId="2" type="noConversion"/>
  </si>
  <si>
    <t>여승진</t>
    <phoneticPr fontId="2" type="noConversion"/>
  </si>
  <si>
    <t>안주희</t>
    <phoneticPr fontId="2" type="noConversion"/>
  </si>
  <si>
    <t>러너스하이</t>
    <phoneticPr fontId="2" type="noConversion"/>
  </si>
  <si>
    <t>김창민</t>
    <phoneticPr fontId="2" type="noConversion"/>
  </si>
  <si>
    <t>조성훈</t>
    <phoneticPr fontId="2" type="noConversion"/>
  </si>
  <si>
    <t>허영건</t>
    <phoneticPr fontId="2" type="noConversion"/>
  </si>
  <si>
    <t xml:space="preserve"> 반기환</t>
    <phoneticPr fontId="2" type="noConversion"/>
  </si>
  <si>
    <t>리프레쉬</t>
    <phoneticPr fontId="2" type="noConversion"/>
  </si>
  <si>
    <t>변승찬</t>
    <phoneticPr fontId="2" type="noConversion"/>
  </si>
  <si>
    <t>허예진</t>
    <phoneticPr fontId="2" type="noConversion"/>
  </si>
  <si>
    <t>박영건</t>
    <phoneticPr fontId="2" type="noConversion"/>
  </si>
  <si>
    <t>문경록</t>
    <phoneticPr fontId="2" type="noConversion"/>
  </si>
  <si>
    <t>허세화</t>
    <phoneticPr fontId="2" type="noConversion"/>
  </si>
  <si>
    <t>이선희</t>
    <phoneticPr fontId="2" type="noConversion"/>
  </si>
  <si>
    <t>성은주</t>
    <phoneticPr fontId="2" type="noConversion"/>
  </si>
  <si>
    <t>러너스하이</t>
  </si>
  <si>
    <t>김정현</t>
  </si>
  <si>
    <t>박창선</t>
    <phoneticPr fontId="2" type="noConversion"/>
  </si>
  <si>
    <t>김영희</t>
    <phoneticPr fontId="2" type="noConversion"/>
  </si>
  <si>
    <t>회장</t>
    <phoneticPr fontId="2" type="noConversion"/>
  </si>
  <si>
    <t>총무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</si>
</sst>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7" fillId="0" borderId="8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41" fontId="7" fillId="2" borderId="5" xfId="1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41" fontId="7" fillId="0" borderId="5" xfId="1" applyFont="1" applyFill="1" applyBorder="1" applyAlignment="1">
      <alignment vertical="center"/>
    </xf>
    <xf numFmtId="41" fontId="7" fillId="2" borderId="5" xfId="1" applyFont="1" applyFill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41" fontId="7" fillId="0" borderId="5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7" fillId="0" borderId="8" xfId="0" quotePrefix="1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7" fillId="4" borderId="2" xfId="1" applyNumberFormat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41" fontId="7" fillId="0" borderId="5" xfId="2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8" xfId="0" quotePrefix="1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10" fillId="0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</cellXfs>
  <cellStyles count="3">
    <cellStyle name="쉼표 [0]" xfId="1" builtinId="6"/>
    <cellStyle name="쉼표 [0] 2" xfId="2" xr:uid="{24D98015-ACF5-4E61-898E-6734C9E4769B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0E02-7B55-4E73-A519-474E5E8503B3}">
  <dimension ref="B1:H91"/>
  <sheetViews>
    <sheetView showGridLines="0" tabSelected="1" zoomScale="70" zoomScaleNormal="70" workbookViewId="0">
      <pane ySplit="4" topLeftCell="A56" activePane="bottomLeft" state="frozen"/>
      <selection pane="bottomLeft" activeCell="L61" sqref="L61"/>
    </sheetView>
  </sheetViews>
  <sheetFormatPr defaultRowHeight="16.5" x14ac:dyDescent="0.3"/>
  <cols>
    <col min="1" max="1" width="4.125" customWidth="1"/>
    <col min="2" max="2" width="5.25" customWidth="1"/>
    <col min="3" max="3" width="12.125" style="1" bestFit="1" customWidth="1"/>
    <col min="4" max="4" width="18.625" style="1" customWidth="1"/>
    <col min="5" max="5" width="18.625" customWidth="1"/>
    <col min="6" max="6" width="18.625" style="1" customWidth="1"/>
    <col min="7" max="7" width="65.75" bestFit="1" customWidth="1"/>
    <col min="19" max="35" width="0" hidden="1" customWidth="1"/>
  </cols>
  <sheetData>
    <row r="1" spans="2:8" x14ac:dyDescent="0.3">
      <c r="H1" s="2"/>
    </row>
    <row r="2" spans="2:8" ht="34.9" customHeight="1" x14ac:dyDescent="0.3">
      <c r="B2" s="45" t="s">
        <v>20</v>
      </c>
      <c r="C2" s="45"/>
      <c r="D2" s="45"/>
      <c r="E2" s="45"/>
      <c r="F2" s="45"/>
      <c r="G2" s="45"/>
      <c r="H2" s="28"/>
    </row>
    <row r="3" spans="2:8" x14ac:dyDescent="0.3">
      <c r="B3" s="5"/>
      <c r="C3" s="29"/>
      <c r="D3" s="29"/>
      <c r="E3" s="5"/>
      <c r="F3" s="30"/>
      <c r="G3" s="31">
        <v>46129</v>
      </c>
      <c r="H3" s="5"/>
    </row>
    <row r="4" spans="2:8" ht="20.65" customHeight="1" x14ac:dyDescent="0.3">
      <c r="B4" s="32" t="s">
        <v>0</v>
      </c>
      <c r="C4" s="33" t="s">
        <v>7</v>
      </c>
      <c r="D4" s="34" t="s">
        <v>1</v>
      </c>
      <c r="E4" s="34" t="s">
        <v>2</v>
      </c>
      <c r="F4" s="35" t="s">
        <v>3</v>
      </c>
      <c r="G4" s="36" t="s">
        <v>4</v>
      </c>
      <c r="H4" s="37"/>
    </row>
    <row r="5" spans="2:8" s="4" customFormat="1" ht="17.25" customHeight="1" x14ac:dyDescent="0.3">
      <c r="B5" s="6">
        <f>ROW()-4</f>
        <v>1</v>
      </c>
      <c r="C5" s="7" t="s">
        <v>34</v>
      </c>
      <c r="D5" s="8" t="e">
        <f>VLOOKUP(E5,#REF!,2,FALSE)</f>
        <v>#REF!</v>
      </c>
      <c r="E5" s="12" t="s">
        <v>6</v>
      </c>
      <c r="F5" s="10">
        <v>10000</v>
      </c>
      <c r="G5" s="11"/>
      <c r="H5" s="5">
        <f t="shared" ref="H5:H24" si="0">COUNTIF($D$5:$D$981, D5)</f>
        <v>19</v>
      </c>
    </row>
    <row r="6" spans="2:8" s="4" customFormat="1" ht="17.25" customHeight="1" x14ac:dyDescent="0.3">
      <c r="B6" s="6">
        <f t="shared" ref="B6:B68" si="1">ROW()-4</f>
        <v>2</v>
      </c>
      <c r="C6" s="7" t="s">
        <v>34</v>
      </c>
      <c r="D6" s="8" t="e">
        <f>VLOOKUP(E6,#REF!,2,FALSE)</f>
        <v>#REF!</v>
      </c>
      <c r="E6" s="9" t="s">
        <v>8</v>
      </c>
      <c r="F6" s="10">
        <v>10000</v>
      </c>
      <c r="G6" s="11"/>
      <c r="H6" s="5">
        <f t="shared" si="0"/>
        <v>19</v>
      </c>
    </row>
    <row r="7" spans="2:8" s="4" customFormat="1" ht="17.25" customHeight="1" x14ac:dyDescent="0.3">
      <c r="B7" s="6">
        <f t="shared" si="1"/>
        <v>3</v>
      </c>
      <c r="C7" s="7" t="s">
        <v>34</v>
      </c>
      <c r="D7" s="8" t="e">
        <f>VLOOKUP(E7,#REF!,2,FALSE)</f>
        <v>#REF!</v>
      </c>
      <c r="E7" s="9" t="s">
        <v>9</v>
      </c>
      <c r="F7" s="10">
        <v>10000</v>
      </c>
      <c r="G7" s="11"/>
      <c r="H7" s="5">
        <f t="shared" si="0"/>
        <v>19</v>
      </c>
    </row>
    <row r="8" spans="2:8" s="4" customFormat="1" ht="17.25" customHeight="1" x14ac:dyDescent="0.3">
      <c r="B8" s="6">
        <f t="shared" si="1"/>
        <v>4</v>
      </c>
      <c r="C8" s="7" t="s">
        <v>34</v>
      </c>
      <c r="D8" s="8" t="e">
        <f>VLOOKUP(E8,#REF!,2,FALSE)</f>
        <v>#REF!</v>
      </c>
      <c r="E8" s="9" t="s">
        <v>5</v>
      </c>
      <c r="F8" s="10">
        <v>10000</v>
      </c>
      <c r="G8" s="11"/>
      <c r="H8" s="5">
        <f t="shared" si="0"/>
        <v>19</v>
      </c>
    </row>
    <row r="9" spans="2:8" s="4" customFormat="1" ht="17.25" customHeight="1" x14ac:dyDescent="0.3">
      <c r="B9" s="6">
        <f t="shared" si="1"/>
        <v>5</v>
      </c>
      <c r="C9" s="7" t="s">
        <v>34</v>
      </c>
      <c r="D9" s="8" t="e">
        <f>VLOOKUP(E9,#REF!,2,FALSE)</f>
        <v>#REF!</v>
      </c>
      <c r="E9" s="12" t="s">
        <v>10</v>
      </c>
      <c r="F9" s="10">
        <v>10000</v>
      </c>
      <c r="G9" s="11"/>
      <c r="H9" s="5">
        <f t="shared" si="0"/>
        <v>19</v>
      </c>
    </row>
    <row r="10" spans="2:8" s="4" customFormat="1" ht="17.25" customHeight="1" x14ac:dyDescent="0.3">
      <c r="B10" s="6">
        <f t="shared" si="1"/>
        <v>6</v>
      </c>
      <c r="C10" s="7" t="s">
        <v>34</v>
      </c>
      <c r="D10" s="8" t="e">
        <f>VLOOKUP(E10,#REF!,2,FALSE)</f>
        <v>#REF!</v>
      </c>
      <c r="E10" s="9" t="s">
        <v>12</v>
      </c>
      <c r="F10" s="10">
        <v>10000</v>
      </c>
      <c r="G10" s="11"/>
      <c r="H10" s="5">
        <f t="shared" si="0"/>
        <v>19</v>
      </c>
    </row>
    <row r="11" spans="2:8" s="4" customFormat="1" ht="17.25" customHeight="1" x14ac:dyDescent="0.3">
      <c r="B11" s="6">
        <f t="shared" si="1"/>
        <v>7</v>
      </c>
      <c r="C11" s="7" t="s">
        <v>34</v>
      </c>
      <c r="D11" s="8" t="e">
        <f>VLOOKUP(E11,#REF!,2,FALSE)</f>
        <v>#REF!</v>
      </c>
      <c r="E11" s="12" t="s">
        <v>13</v>
      </c>
      <c r="F11" s="10">
        <v>10000</v>
      </c>
      <c r="G11" s="11"/>
      <c r="H11" s="5">
        <f t="shared" si="0"/>
        <v>19</v>
      </c>
    </row>
    <row r="12" spans="2:8" s="4" customFormat="1" ht="17.25" customHeight="1" x14ac:dyDescent="0.3">
      <c r="B12" s="6">
        <f t="shared" si="1"/>
        <v>8</v>
      </c>
      <c r="C12" s="7" t="s">
        <v>34</v>
      </c>
      <c r="D12" s="8" t="e">
        <f>VLOOKUP(E12,#REF!,2,FALSE)</f>
        <v>#REF!</v>
      </c>
      <c r="E12" s="9" t="s">
        <v>14</v>
      </c>
      <c r="F12" s="10">
        <v>10000</v>
      </c>
      <c r="G12" s="11"/>
      <c r="H12" s="5">
        <f t="shared" si="0"/>
        <v>19</v>
      </c>
    </row>
    <row r="13" spans="2:8" s="4" customFormat="1" ht="17.25" customHeight="1" x14ac:dyDescent="0.3">
      <c r="B13" s="6">
        <f t="shared" si="1"/>
        <v>9</v>
      </c>
      <c r="C13" s="7" t="s">
        <v>34</v>
      </c>
      <c r="D13" s="8" t="e">
        <f>VLOOKUP(E13,#REF!,2,FALSE)</f>
        <v>#REF!</v>
      </c>
      <c r="E13" s="9" t="s">
        <v>15</v>
      </c>
      <c r="F13" s="10">
        <v>10000</v>
      </c>
      <c r="G13" s="11"/>
      <c r="H13" s="5">
        <f t="shared" si="0"/>
        <v>19</v>
      </c>
    </row>
    <row r="14" spans="2:8" s="4" customFormat="1" ht="17.25" customHeight="1" x14ac:dyDescent="0.3">
      <c r="B14" s="6">
        <f t="shared" si="1"/>
        <v>10</v>
      </c>
      <c r="C14" s="7" t="s">
        <v>34</v>
      </c>
      <c r="D14" s="8" t="e">
        <f>VLOOKUP(E14,#REF!,2,FALSE)</f>
        <v>#REF!</v>
      </c>
      <c r="E14" s="9" t="s">
        <v>16</v>
      </c>
      <c r="F14" s="10">
        <v>10000</v>
      </c>
      <c r="G14" s="11" t="s">
        <v>91</v>
      </c>
      <c r="H14" s="5">
        <f t="shared" si="0"/>
        <v>19</v>
      </c>
    </row>
    <row r="15" spans="2:8" s="4" customFormat="1" ht="17.25" customHeight="1" x14ac:dyDescent="0.3">
      <c r="B15" s="6">
        <f t="shared" si="1"/>
        <v>11</v>
      </c>
      <c r="C15" s="7" t="s">
        <v>34</v>
      </c>
      <c r="D15" s="8" t="e">
        <f>VLOOKUP(E15,#REF!,2,FALSE)</f>
        <v>#REF!</v>
      </c>
      <c r="E15" s="9" t="s">
        <v>17</v>
      </c>
      <c r="F15" s="10">
        <v>10000</v>
      </c>
      <c r="G15" s="11"/>
      <c r="H15" s="5">
        <f t="shared" si="0"/>
        <v>19</v>
      </c>
    </row>
    <row r="16" spans="2:8" s="4" customFormat="1" ht="17.25" customHeight="1" x14ac:dyDescent="0.3">
      <c r="B16" s="6">
        <f t="shared" si="1"/>
        <v>12</v>
      </c>
      <c r="C16" s="7" t="s">
        <v>34</v>
      </c>
      <c r="D16" s="8" t="e">
        <f>VLOOKUP(E16,#REF!,2,FALSE)</f>
        <v>#REF!</v>
      </c>
      <c r="E16" s="9" t="s">
        <v>18</v>
      </c>
      <c r="F16" s="10">
        <v>10000</v>
      </c>
      <c r="G16" s="11"/>
      <c r="H16" s="5">
        <f t="shared" si="0"/>
        <v>19</v>
      </c>
    </row>
    <row r="17" spans="2:8" s="4" customFormat="1" ht="17.25" customHeight="1" x14ac:dyDescent="0.3">
      <c r="B17" s="6">
        <f t="shared" si="1"/>
        <v>13</v>
      </c>
      <c r="C17" s="7" t="s">
        <v>34</v>
      </c>
      <c r="D17" s="8" t="e">
        <f>VLOOKUP(E17,#REF!,2,FALSE)</f>
        <v>#REF!</v>
      </c>
      <c r="E17" s="9" t="s">
        <v>19</v>
      </c>
      <c r="F17" s="10">
        <v>10000</v>
      </c>
      <c r="G17" s="11"/>
      <c r="H17" s="5">
        <f t="shared" si="0"/>
        <v>19</v>
      </c>
    </row>
    <row r="18" spans="2:8" s="4" customFormat="1" ht="17.25" customHeight="1" x14ac:dyDescent="0.3">
      <c r="B18" s="6">
        <f t="shared" si="1"/>
        <v>14</v>
      </c>
      <c r="C18" s="7" t="s">
        <v>34</v>
      </c>
      <c r="D18" s="8">
        <v>20000146</v>
      </c>
      <c r="E18" s="12" t="s">
        <v>38</v>
      </c>
      <c r="F18" s="10">
        <v>10000</v>
      </c>
      <c r="G18" s="11"/>
      <c r="H18" s="5">
        <f t="shared" si="0"/>
        <v>1</v>
      </c>
    </row>
    <row r="19" spans="2:8" s="4" customFormat="1" ht="17.25" customHeight="1" x14ac:dyDescent="0.3">
      <c r="B19" s="6">
        <f t="shared" si="1"/>
        <v>15</v>
      </c>
      <c r="C19" s="7" t="s">
        <v>34</v>
      </c>
      <c r="D19" s="8">
        <v>20000188</v>
      </c>
      <c r="E19" s="12" t="s">
        <v>47</v>
      </c>
      <c r="F19" s="14">
        <v>10000</v>
      </c>
      <c r="G19" s="3"/>
      <c r="H19" s="5">
        <f t="shared" si="0"/>
        <v>1</v>
      </c>
    </row>
    <row r="20" spans="2:8" s="4" customFormat="1" ht="17.25" customHeight="1" x14ac:dyDescent="0.3">
      <c r="B20" s="6">
        <f t="shared" si="1"/>
        <v>16</v>
      </c>
      <c r="C20" s="7" t="s">
        <v>34</v>
      </c>
      <c r="D20" s="8">
        <v>20000152</v>
      </c>
      <c r="E20" s="12" t="s">
        <v>21</v>
      </c>
      <c r="F20" s="14">
        <v>10000</v>
      </c>
      <c r="G20" s="3"/>
      <c r="H20" s="5">
        <f t="shared" si="0"/>
        <v>1</v>
      </c>
    </row>
    <row r="21" spans="2:8" s="4" customFormat="1" ht="17.25" customHeight="1" x14ac:dyDescent="0.3">
      <c r="B21" s="6">
        <f t="shared" si="1"/>
        <v>17</v>
      </c>
      <c r="C21" s="7" t="s">
        <v>34</v>
      </c>
      <c r="D21" s="8">
        <v>20000214</v>
      </c>
      <c r="E21" s="12" t="s">
        <v>58</v>
      </c>
      <c r="F21" s="14">
        <v>10000</v>
      </c>
      <c r="G21" s="3"/>
      <c r="H21" s="5">
        <f t="shared" si="0"/>
        <v>1</v>
      </c>
    </row>
    <row r="22" spans="2:8" s="5" customFormat="1" ht="17.25" customHeight="1" x14ac:dyDescent="0.3">
      <c r="B22" s="6">
        <f t="shared" si="1"/>
        <v>18</v>
      </c>
      <c r="C22" s="7" t="s">
        <v>34</v>
      </c>
      <c r="D22" s="8">
        <v>20000048</v>
      </c>
      <c r="E22" s="12" t="s">
        <v>60</v>
      </c>
      <c r="F22" s="14">
        <v>10000</v>
      </c>
      <c r="G22" s="3"/>
      <c r="H22" s="5">
        <f t="shared" si="0"/>
        <v>2</v>
      </c>
    </row>
    <row r="23" spans="2:8" s="5" customFormat="1" ht="17.25" customHeight="1" x14ac:dyDescent="0.3">
      <c r="B23" s="6">
        <f t="shared" si="1"/>
        <v>19</v>
      </c>
      <c r="C23" s="7" t="s">
        <v>34</v>
      </c>
      <c r="D23" s="8">
        <v>20000224</v>
      </c>
      <c r="E23" s="12" t="s">
        <v>62</v>
      </c>
      <c r="F23" s="14">
        <v>10000</v>
      </c>
      <c r="G23" s="23" t="s">
        <v>92</v>
      </c>
      <c r="H23" s="5">
        <f t="shared" si="0"/>
        <v>1</v>
      </c>
    </row>
    <row r="24" spans="2:8" s="25" customFormat="1" ht="17.25" customHeight="1" x14ac:dyDescent="0.3">
      <c r="B24" s="6">
        <f t="shared" si="1"/>
        <v>20</v>
      </c>
      <c r="C24" s="13" t="s">
        <v>34</v>
      </c>
      <c r="D24" s="17">
        <v>20000248</v>
      </c>
      <c r="E24" s="12" t="s">
        <v>75</v>
      </c>
      <c r="F24" s="14">
        <v>10000</v>
      </c>
      <c r="G24" s="24"/>
      <c r="H24" s="25">
        <f t="shared" si="0"/>
        <v>2</v>
      </c>
    </row>
    <row r="25" spans="2:8" s="43" customFormat="1" ht="17.25" customHeight="1" x14ac:dyDescent="0.3">
      <c r="B25" s="6">
        <f t="shared" si="1"/>
        <v>21</v>
      </c>
      <c r="C25" s="39" t="s">
        <v>34</v>
      </c>
      <c r="D25" s="41">
        <v>20000231</v>
      </c>
      <c r="E25" s="38" t="s">
        <v>88</v>
      </c>
      <c r="F25" s="40">
        <v>10000</v>
      </c>
      <c r="G25" s="42"/>
      <c r="H25" s="43">
        <v>1</v>
      </c>
    </row>
    <row r="26" spans="2:8" s="43" customFormat="1" ht="17.25" customHeight="1" x14ac:dyDescent="0.3">
      <c r="B26" s="44">
        <f t="shared" si="1"/>
        <v>22</v>
      </c>
      <c r="C26" s="39" t="s">
        <v>34</v>
      </c>
      <c r="D26" s="41">
        <v>20000230</v>
      </c>
      <c r="E26" s="38" t="s">
        <v>89</v>
      </c>
      <c r="F26" s="40">
        <v>10000</v>
      </c>
      <c r="G26" s="42"/>
      <c r="H26" s="43">
        <v>1</v>
      </c>
    </row>
    <row r="27" spans="2:8" s="5" customFormat="1" ht="17.25" customHeight="1" x14ac:dyDescent="0.3">
      <c r="B27" s="6">
        <f t="shared" si="1"/>
        <v>23</v>
      </c>
      <c r="C27" s="7" t="s">
        <v>22</v>
      </c>
      <c r="D27" s="8" t="e">
        <f>VLOOKUP(E27,#REF!,2,FALSE)</f>
        <v>#REF!</v>
      </c>
      <c r="E27" s="12" t="s">
        <v>23</v>
      </c>
      <c r="F27" s="10">
        <v>5000</v>
      </c>
      <c r="G27" s="11" t="s">
        <v>92</v>
      </c>
      <c r="H27" s="5">
        <f t="shared" ref="H27:H58" si="2">COUNTIF($D$5:$D$981, D27)</f>
        <v>19</v>
      </c>
    </row>
    <row r="28" spans="2:8" s="5" customFormat="1" ht="17.25" customHeight="1" x14ac:dyDescent="0.3">
      <c r="B28" s="6">
        <f t="shared" si="1"/>
        <v>24</v>
      </c>
      <c r="C28" s="7" t="s">
        <v>22</v>
      </c>
      <c r="D28" s="8" t="e">
        <f>VLOOKUP(E28,#REF!,2,FALSE)</f>
        <v>#REF!</v>
      </c>
      <c r="E28" s="9" t="s">
        <v>24</v>
      </c>
      <c r="F28" s="10">
        <v>5000</v>
      </c>
      <c r="G28" s="11" t="s">
        <v>91</v>
      </c>
      <c r="H28" s="5">
        <f t="shared" si="2"/>
        <v>19</v>
      </c>
    </row>
    <row r="29" spans="2:8" s="5" customFormat="1" ht="17.25" customHeight="1" x14ac:dyDescent="0.3">
      <c r="B29" s="6">
        <f t="shared" si="1"/>
        <v>25</v>
      </c>
      <c r="C29" s="7" t="s">
        <v>22</v>
      </c>
      <c r="D29" s="8" t="e">
        <f>VLOOKUP(E29,#REF!,2,FALSE)</f>
        <v>#REF!</v>
      </c>
      <c r="E29" s="15" t="s">
        <v>25</v>
      </c>
      <c r="F29" s="10">
        <v>5000</v>
      </c>
      <c r="G29" s="11"/>
      <c r="H29" s="5">
        <f t="shared" si="2"/>
        <v>19</v>
      </c>
    </row>
    <row r="30" spans="2:8" s="5" customFormat="1" ht="17.25" customHeight="1" x14ac:dyDescent="0.3">
      <c r="B30" s="6">
        <f t="shared" si="1"/>
        <v>26</v>
      </c>
      <c r="C30" s="7" t="s">
        <v>22</v>
      </c>
      <c r="D30" s="8" t="e">
        <f>VLOOKUP(E30,#REF!,2,FALSE)</f>
        <v>#REF!</v>
      </c>
      <c r="E30" s="15" t="s">
        <v>27</v>
      </c>
      <c r="F30" s="10">
        <v>5000</v>
      </c>
      <c r="G30" s="11"/>
      <c r="H30" s="5">
        <f t="shared" si="2"/>
        <v>19</v>
      </c>
    </row>
    <row r="31" spans="2:8" s="5" customFormat="1" ht="17.25" customHeight="1" x14ac:dyDescent="0.3">
      <c r="B31" s="6">
        <f t="shared" si="1"/>
        <v>27</v>
      </c>
      <c r="C31" s="7" t="s">
        <v>22</v>
      </c>
      <c r="D31" s="8" t="e">
        <f>VLOOKUP(E31,#REF!,2,FALSE)</f>
        <v>#REF!</v>
      </c>
      <c r="E31" s="15" t="s">
        <v>28</v>
      </c>
      <c r="F31" s="10">
        <v>5000</v>
      </c>
      <c r="G31" s="11"/>
      <c r="H31" s="5">
        <f t="shared" si="2"/>
        <v>19</v>
      </c>
    </row>
    <row r="32" spans="2:8" s="5" customFormat="1" ht="17.25" customHeight="1" x14ac:dyDescent="0.3">
      <c r="B32" s="6">
        <f t="shared" si="1"/>
        <v>28</v>
      </c>
      <c r="C32" s="13" t="s">
        <v>22</v>
      </c>
      <c r="D32" s="17">
        <v>20000006</v>
      </c>
      <c r="E32" s="18" t="s">
        <v>35</v>
      </c>
      <c r="F32" s="14">
        <v>5000</v>
      </c>
      <c r="G32" s="19"/>
      <c r="H32" s="5">
        <f t="shared" si="2"/>
        <v>2</v>
      </c>
    </row>
    <row r="33" spans="2:8" s="25" customFormat="1" ht="17.25" customHeight="1" x14ac:dyDescent="0.3">
      <c r="B33" s="6">
        <f t="shared" si="1"/>
        <v>29</v>
      </c>
      <c r="C33" s="13" t="s">
        <v>22</v>
      </c>
      <c r="D33" s="17">
        <v>20000064</v>
      </c>
      <c r="E33" s="18" t="s">
        <v>49</v>
      </c>
      <c r="F33" s="14">
        <v>5000</v>
      </c>
      <c r="G33" s="27"/>
      <c r="H33" s="25">
        <f t="shared" si="2"/>
        <v>2</v>
      </c>
    </row>
    <row r="34" spans="2:8" s="5" customFormat="1" ht="17.25" customHeight="1" x14ac:dyDescent="0.3">
      <c r="B34" s="6">
        <f t="shared" si="1"/>
        <v>30</v>
      </c>
      <c r="C34" s="13" t="s">
        <v>22</v>
      </c>
      <c r="D34" s="17">
        <v>20000033</v>
      </c>
      <c r="E34" s="18" t="s">
        <v>57</v>
      </c>
      <c r="F34" s="14">
        <v>5000</v>
      </c>
      <c r="G34" s="3"/>
      <c r="H34" s="5">
        <f t="shared" si="2"/>
        <v>1</v>
      </c>
    </row>
    <row r="35" spans="2:8" s="5" customFormat="1" ht="17.25" customHeight="1" x14ac:dyDescent="0.3">
      <c r="B35" s="6">
        <f t="shared" si="1"/>
        <v>31</v>
      </c>
      <c r="C35" s="13" t="s">
        <v>22</v>
      </c>
      <c r="D35" s="17">
        <v>20000140</v>
      </c>
      <c r="E35" s="18" t="s">
        <v>59</v>
      </c>
      <c r="F35" s="14">
        <v>5000</v>
      </c>
      <c r="G35" s="3"/>
      <c r="H35" s="5">
        <f t="shared" si="2"/>
        <v>1</v>
      </c>
    </row>
    <row r="36" spans="2:8" s="4" customFormat="1" ht="17.25" x14ac:dyDescent="0.3">
      <c r="B36" s="6">
        <f t="shared" si="1"/>
        <v>32</v>
      </c>
      <c r="C36" s="20" t="s">
        <v>37</v>
      </c>
      <c r="D36" s="21">
        <v>20000008</v>
      </c>
      <c r="E36" s="22" t="s">
        <v>11</v>
      </c>
      <c r="F36" s="14">
        <v>5000</v>
      </c>
      <c r="G36" s="3" t="s">
        <v>91</v>
      </c>
      <c r="H36" s="5">
        <f t="shared" si="2"/>
        <v>1</v>
      </c>
    </row>
    <row r="37" spans="2:8" s="4" customFormat="1" ht="17.25" x14ac:dyDescent="0.3">
      <c r="B37" s="6">
        <f t="shared" si="1"/>
        <v>33</v>
      </c>
      <c r="C37" s="7" t="s">
        <v>36</v>
      </c>
      <c r="D37" s="16">
        <v>20000048</v>
      </c>
      <c r="E37" s="9" t="s">
        <v>29</v>
      </c>
      <c r="F37" s="14">
        <v>5000</v>
      </c>
      <c r="G37" s="3" t="s">
        <v>92</v>
      </c>
      <c r="H37" s="5">
        <f t="shared" si="2"/>
        <v>2</v>
      </c>
    </row>
    <row r="38" spans="2:8" s="4" customFormat="1" ht="17.25" x14ac:dyDescent="0.3">
      <c r="B38" s="6">
        <f t="shared" si="1"/>
        <v>34</v>
      </c>
      <c r="C38" s="7" t="s">
        <v>36</v>
      </c>
      <c r="D38" s="16">
        <v>20000020</v>
      </c>
      <c r="E38" s="15" t="s">
        <v>8</v>
      </c>
      <c r="F38" s="14">
        <v>5000</v>
      </c>
      <c r="G38" s="3"/>
      <c r="H38" s="5">
        <f t="shared" si="2"/>
        <v>1</v>
      </c>
    </row>
    <row r="39" spans="2:8" s="4" customFormat="1" ht="17.25" x14ac:dyDescent="0.3">
      <c r="B39" s="6">
        <f t="shared" si="1"/>
        <v>35</v>
      </c>
      <c r="C39" s="7" t="s">
        <v>36</v>
      </c>
      <c r="D39" s="16">
        <v>20000079</v>
      </c>
      <c r="E39" s="15" t="s">
        <v>30</v>
      </c>
      <c r="F39" s="14">
        <v>5000</v>
      </c>
      <c r="G39" s="3"/>
      <c r="H39" s="5">
        <f t="shared" si="2"/>
        <v>1</v>
      </c>
    </row>
    <row r="40" spans="2:8" s="4" customFormat="1" ht="17.25" x14ac:dyDescent="0.3">
      <c r="B40" s="6">
        <f t="shared" si="1"/>
        <v>36</v>
      </c>
      <c r="C40" s="7" t="s">
        <v>36</v>
      </c>
      <c r="D40" s="16">
        <v>20000102</v>
      </c>
      <c r="E40" s="15" t="s">
        <v>31</v>
      </c>
      <c r="F40" s="14">
        <v>5000</v>
      </c>
      <c r="G40" s="3"/>
      <c r="H40" s="5">
        <f t="shared" si="2"/>
        <v>1</v>
      </c>
    </row>
    <row r="41" spans="2:8" s="4" customFormat="1" ht="17.25" x14ac:dyDescent="0.3">
      <c r="B41" s="6">
        <f t="shared" si="1"/>
        <v>37</v>
      </c>
      <c r="C41" s="7" t="s">
        <v>36</v>
      </c>
      <c r="D41" s="16">
        <v>20000148</v>
      </c>
      <c r="E41" s="15" t="s">
        <v>32</v>
      </c>
      <c r="F41" s="14">
        <v>5000</v>
      </c>
      <c r="G41" s="3"/>
      <c r="H41" s="5">
        <f t="shared" si="2"/>
        <v>1</v>
      </c>
    </row>
    <row r="42" spans="2:8" s="4" customFormat="1" ht="17.25" x14ac:dyDescent="0.3">
      <c r="B42" s="6">
        <f t="shared" si="1"/>
        <v>38</v>
      </c>
      <c r="C42" s="7" t="s">
        <v>36</v>
      </c>
      <c r="D42" s="8" t="e">
        <f>VLOOKUP(E42,#REF!,2,FALSE)</f>
        <v>#REF!</v>
      </c>
      <c r="E42" s="15" t="s">
        <v>56</v>
      </c>
      <c r="F42" s="14">
        <v>5000</v>
      </c>
      <c r="G42" s="3"/>
      <c r="H42" s="5">
        <f t="shared" si="2"/>
        <v>19</v>
      </c>
    </row>
    <row r="43" spans="2:8" s="25" customFormat="1" ht="17.25" customHeight="1" x14ac:dyDescent="0.3">
      <c r="B43" s="6">
        <f t="shared" si="1"/>
        <v>39</v>
      </c>
      <c r="C43" s="13" t="s">
        <v>37</v>
      </c>
      <c r="D43" s="17">
        <v>20000248</v>
      </c>
      <c r="E43" s="12" t="s">
        <v>75</v>
      </c>
      <c r="F43" s="14">
        <v>5000</v>
      </c>
      <c r="G43" s="24"/>
      <c r="H43" s="25">
        <f t="shared" si="2"/>
        <v>2</v>
      </c>
    </row>
    <row r="44" spans="2:8" s="25" customFormat="1" ht="17.25" customHeight="1" x14ac:dyDescent="0.3">
      <c r="B44" s="6">
        <f t="shared" si="1"/>
        <v>40</v>
      </c>
      <c r="C44" s="13" t="s">
        <v>37</v>
      </c>
      <c r="D44" s="17">
        <v>20000260</v>
      </c>
      <c r="E44" s="12" t="s">
        <v>76</v>
      </c>
      <c r="F44" s="14">
        <v>5000</v>
      </c>
      <c r="G44" s="24"/>
      <c r="H44" s="25">
        <f t="shared" si="2"/>
        <v>1</v>
      </c>
    </row>
    <row r="45" spans="2:8" s="25" customFormat="1" ht="17.25" customHeight="1" x14ac:dyDescent="0.3">
      <c r="B45" s="6">
        <f t="shared" si="1"/>
        <v>41</v>
      </c>
      <c r="C45" s="13" t="s">
        <v>37</v>
      </c>
      <c r="D45" s="17">
        <v>20000257</v>
      </c>
      <c r="E45" s="12" t="s">
        <v>77</v>
      </c>
      <c r="F45" s="14">
        <v>5000</v>
      </c>
      <c r="G45" s="24"/>
      <c r="H45" s="25">
        <f t="shared" si="2"/>
        <v>1</v>
      </c>
    </row>
    <row r="46" spans="2:8" s="25" customFormat="1" ht="17.25" customHeight="1" x14ac:dyDescent="0.3">
      <c r="B46" s="6">
        <f t="shared" si="1"/>
        <v>42</v>
      </c>
      <c r="C46" s="13" t="s">
        <v>37</v>
      </c>
      <c r="D46" s="17">
        <v>20000204</v>
      </c>
      <c r="E46" s="12" t="s">
        <v>66</v>
      </c>
      <c r="F46" s="14">
        <v>5000</v>
      </c>
      <c r="G46" s="24"/>
      <c r="H46" s="25">
        <f t="shared" si="2"/>
        <v>2</v>
      </c>
    </row>
    <row r="47" spans="2:8" s="4" customFormat="1" ht="17.25" x14ac:dyDescent="0.3">
      <c r="B47" s="6">
        <f t="shared" si="1"/>
        <v>43</v>
      </c>
      <c r="C47" s="7" t="s">
        <v>39</v>
      </c>
      <c r="D47" s="16">
        <v>20000155</v>
      </c>
      <c r="E47" s="15" t="s">
        <v>40</v>
      </c>
      <c r="F47" s="14">
        <v>10000</v>
      </c>
      <c r="G47" s="3"/>
      <c r="H47" s="5">
        <f t="shared" si="2"/>
        <v>1</v>
      </c>
    </row>
    <row r="48" spans="2:8" s="4" customFormat="1" ht="17.25" x14ac:dyDescent="0.3">
      <c r="B48" s="6">
        <f t="shared" si="1"/>
        <v>44</v>
      </c>
      <c r="C48" s="7" t="s">
        <v>39</v>
      </c>
      <c r="D48" s="16">
        <v>20000173</v>
      </c>
      <c r="E48" s="15" t="s">
        <v>41</v>
      </c>
      <c r="F48" s="14">
        <v>10000</v>
      </c>
      <c r="G48" s="3"/>
      <c r="H48" s="5">
        <f t="shared" si="2"/>
        <v>1</v>
      </c>
    </row>
    <row r="49" spans="2:8" s="4" customFormat="1" ht="17.25" x14ac:dyDescent="0.3">
      <c r="B49" s="6">
        <f t="shared" si="1"/>
        <v>45</v>
      </c>
      <c r="C49" s="7" t="s">
        <v>39</v>
      </c>
      <c r="D49" s="16">
        <v>20000013</v>
      </c>
      <c r="E49" s="15" t="s">
        <v>42</v>
      </c>
      <c r="F49" s="14">
        <v>10000</v>
      </c>
      <c r="G49" s="3"/>
      <c r="H49" s="5">
        <f t="shared" si="2"/>
        <v>2</v>
      </c>
    </row>
    <row r="50" spans="2:8" s="4" customFormat="1" ht="17.25" x14ac:dyDescent="0.3">
      <c r="B50" s="6">
        <f t="shared" si="1"/>
        <v>46</v>
      </c>
      <c r="C50" s="7" t="s">
        <v>39</v>
      </c>
      <c r="D50" s="16">
        <v>20000178</v>
      </c>
      <c r="E50" s="15" t="s">
        <v>43</v>
      </c>
      <c r="F50" s="14">
        <v>10000</v>
      </c>
      <c r="G50" s="3"/>
      <c r="H50" s="5">
        <f t="shared" si="2"/>
        <v>1</v>
      </c>
    </row>
    <row r="51" spans="2:8" s="4" customFormat="1" ht="17.25" x14ac:dyDescent="0.3">
      <c r="B51" s="6">
        <f t="shared" si="1"/>
        <v>47</v>
      </c>
      <c r="C51" s="7" t="s">
        <v>39</v>
      </c>
      <c r="D51" s="16">
        <v>20000030</v>
      </c>
      <c r="E51" s="15" t="s">
        <v>44</v>
      </c>
      <c r="F51" s="14">
        <v>10000</v>
      </c>
      <c r="G51" s="3"/>
      <c r="H51" s="5">
        <f t="shared" si="2"/>
        <v>1</v>
      </c>
    </row>
    <row r="52" spans="2:8" s="4" customFormat="1" ht="17.25" x14ac:dyDescent="0.3">
      <c r="B52" s="6">
        <f t="shared" si="1"/>
        <v>48</v>
      </c>
      <c r="C52" s="7" t="s">
        <v>39</v>
      </c>
      <c r="D52" s="16">
        <v>20000142</v>
      </c>
      <c r="E52" s="15" t="s">
        <v>45</v>
      </c>
      <c r="F52" s="14">
        <v>10000</v>
      </c>
      <c r="G52" s="3"/>
      <c r="H52" s="5">
        <f t="shared" si="2"/>
        <v>2</v>
      </c>
    </row>
    <row r="53" spans="2:8" s="4" customFormat="1" ht="17.25" x14ac:dyDescent="0.3">
      <c r="B53" s="6">
        <f t="shared" si="1"/>
        <v>49</v>
      </c>
      <c r="C53" s="7" t="s">
        <v>39</v>
      </c>
      <c r="D53" s="16">
        <v>20000118</v>
      </c>
      <c r="E53" s="15" t="s">
        <v>46</v>
      </c>
      <c r="F53" s="14">
        <v>10000</v>
      </c>
      <c r="G53" s="3"/>
      <c r="H53" s="5">
        <f t="shared" si="2"/>
        <v>2</v>
      </c>
    </row>
    <row r="54" spans="2:8" s="4" customFormat="1" ht="17.25" x14ac:dyDescent="0.3">
      <c r="B54" s="6">
        <f t="shared" si="1"/>
        <v>50</v>
      </c>
      <c r="C54" s="7" t="s">
        <v>39</v>
      </c>
      <c r="D54" s="16">
        <v>20000145</v>
      </c>
      <c r="E54" s="15" t="s">
        <v>48</v>
      </c>
      <c r="F54" s="14">
        <v>10000</v>
      </c>
      <c r="G54" s="3"/>
      <c r="H54" s="5">
        <f t="shared" si="2"/>
        <v>1</v>
      </c>
    </row>
    <row r="55" spans="2:8" s="4" customFormat="1" ht="17.25" x14ac:dyDescent="0.3">
      <c r="B55" s="6">
        <f t="shared" si="1"/>
        <v>51</v>
      </c>
      <c r="C55" s="7" t="s">
        <v>39</v>
      </c>
      <c r="D55" s="16">
        <v>20000038</v>
      </c>
      <c r="E55" s="15" t="s">
        <v>26</v>
      </c>
      <c r="F55" s="14">
        <v>10000</v>
      </c>
      <c r="G55" s="3"/>
      <c r="H55" s="5">
        <f t="shared" si="2"/>
        <v>2</v>
      </c>
    </row>
    <row r="56" spans="2:8" s="4" customFormat="1" ht="17.25" x14ac:dyDescent="0.3">
      <c r="B56" s="6">
        <f t="shared" si="1"/>
        <v>52</v>
      </c>
      <c r="C56" s="7" t="s">
        <v>39</v>
      </c>
      <c r="D56" s="16">
        <v>20000062</v>
      </c>
      <c r="E56" s="15" t="s">
        <v>25</v>
      </c>
      <c r="F56" s="14">
        <v>10000</v>
      </c>
      <c r="G56" s="3"/>
      <c r="H56" s="5">
        <f t="shared" si="2"/>
        <v>1</v>
      </c>
    </row>
    <row r="57" spans="2:8" s="4" customFormat="1" ht="17.25" x14ac:dyDescent="0.3">
      <c r="B57" s="6">
        <f t="shared" si="1"/>
        <v>53</v>
      </c>
      <c r="C57" s="7" t="s">
        <v>39</v>
      </c>
      <c r="D57" s="16">
        <v>20000006</v>
      </c>
      <c r="E57" s="15" t="s">
        <v>35</v>
      </c>
      <c r="F57" s="14">
        <v>10000</v>
      </c>
      <c r="G57" s="3"/>
      <c r="H57" s="5">
        <f t="shared" si="2"/>
        <v>2</v>
      </c>
    </row>
    <row r="58" spans="2:8" s="5" customFormat="1" ht="17.25" x14ac:dyDescent="0.3">
      <c r="B58" s="6">
        <f t="shared" si="1"/>
        <v>54</v>
      </c>
      <c r="C58" s="7" t="s">
        <v>39</v>
      </c>
      <c r="D58" s="16">
        <v>20000117</v>
      </c>
      <c r="E58" s="15" t="s">
        <v>61</v>
      </c>
      <c r="F58" s="14">
        <v>10000</v>
      </c>
      <c r="G58" s="3"/>
      <c r="H58" s="5">
        <f t="shared" si="2"/>
        <v>1</v>
      </c>
    </row>
    <row r="59" spans="2:8" s="5" customFormat="1" ht="17.25" x14ac:dyDescent="0.3">
      <c r="B59" s="6">
        <f t="shared" si="1"/>
        <v>55</v>
      </c>
      <c r="C59" s="7" t="s">
        <v>39</v>
      </c>
      <c r="D59" s="16">
        <v>20000227</v>
      </c>
      <c r="E59" s="15" t="s">
        <v>83</v>
      </c>
      <c r="F59" s="14">
        <v>10000</v>
      </c>
      <c r="G59" s="27"/>
      <c r="H59" s="5">
        <f t="shared" ref="H59:H91" si="3">COUNTIF($D$5:$D$981, D59)</f>
        <v>1</v>
      </c>
    </row>
    <row r="60" spans="2:8" s="5" customFormat="1" ht="17.25" x14ac:dyDescent="0.3">
      <c r="B60" s="6">
        <f t="shared" si="1"/>
        <v>56</v>
      </c>
      <c r="C60" s="7" t="s">
        <v>50</v>
      </c>
      <c r="D60" s="16">
        <v>20000096</v>
      </c>
      <c r="E60" s="15" t="s">
        <v>51</v>
      </c>
      <c r="F60" s="14">
        <v>5000</v>
      </c>
      <c r="G60" s="3"/>
      <c r="H60" s="5">
        <f t="shared" si="3"/>
        <v>1</v>
      </c>
    </row>
    <row r="61" spans="2:8" s="5" customFormat="1" ht="17.25" x14ac:dyDescent="0.3">
      <c r="B61" s="6">
        <f t="shared" si="1"/>
        <v>57</v>
      </c>
      <c r="C61" s="7" t="s">
        <v>50</v>
      </c>
      <c r="D61" s="16">
        <v>20000104</v>
      </c>
      <c r="E61" s="15" t="s">
        <v>52</v>
      </c>
      <c r="F61" s="14">
        <v>5000</v>
      </c>
      <c r="G61" s="3"/>
      <c r="H61" s="5">
        <f t="shared" si="3"/>
        <v>1</v>
      </c>
    </row>
    <row r="62" spans="2:8" s="5" customFormat="1" ht="17.25" x14ac:dyDescent="0.3">
      <c r="B62" s="6">
        <f t="shared" si="1"/>
        <v>58</v>
      </c>
      <c r="C62" s="7" t="s">
        <v>50</v>
      </c>
      <c r="D62" s="16">
        <v>20000002</v>
      </c>
      <c r="E62" s="15" t="s">
        <v>53</v>
      </c>
      <c r="F62" s="14">
        <v>5000</v>
      </c>
      <c r="G62" s="3"/>
      <c r="H62" s="5">
        <f t="shared" si="3"/>
        <v>1</v>
      </c>
    </row>
    <row r="63" spans="2:8" s="5" customFormat="1" ht="17.25" x14ac:dyDescent="0.3">
      <c r="B63" s="6">
        <f t="shared" si="1"/>
        <v>59</v>
      </c>
      <c r="C63" s="7" t="s">
        <v>50</v>
      </c>
      <c r="D63" s="16">
        <v>20000082</v>
      </c>
      <c r="E63" s="15" t="s">
        <v>54</v>
      </c>
      <c r="F63" s="14">
        <v>5000</v>
      </c>
      <c r="G63" s="3"/>
      <c r="H63" s="5">
        <f t="shared" si="3"/>
        <v>1</v>
      </c>
    </row>
    <row r="64" spans="2:8" s="5" customFormat="1" ht="17.25" x14ac:dyDescent="0.3">
      <c r="B64" s="6">
        <f t="shared" si="1"/>
        <v>60</v>
      </c>
      <c r="C64" s="7" t="s">
        <v>50</v>
      </c>
      <c r="D64" s="16">
        <v>20000068</v>
      </c>
      <c r="E64" s="15" t="s">
        <v>55</v>
      </c>
      <c r="F64" s="14">
        <v>5000</v>
      </c>
      <c r="G64" s="3"/>
      <c r="H64" s="5">
        <f t="shared" si="3"/>
        <v>2</v>
      </c>
    </row>
    <row r="65" spans="2:8" s="25" customFormat="1" ht="17.25" x14ac:dyDescent="0.3">
      <c r="B65" s="6">
        <f t="shared" si="1"/>
        <v>61</v>
      </c>
      <c r="C65" s="13" t="s">
        <v>50</v>
      </c>
      <c r="D65" s="26">
        <v>20000014</v>
      </c>
      <c r="E65" s="18" t="s">
        <v>84</v>
      </c>
      <c r="F65" s="14">
        <v>5000</v>
      </c>
      <c r="G65" s="27"/>
      <c r="H65" s="25">
        <f t="shared" si="3"/>
        <v>1</v>
      </c>
    </row>
    <row r="66" spans="2:8" s="25" customFormat="1" ht="17.25" x14ac:dyDescent="0.3">
      <c r="B66" s="6">
        <f t="shared" si="1"/>
        <v>62</v>
      </c>
      <c r="C66" s="13" t="s">
        <v>50</v>
      </c>
      <c r="D66" s="26">
        <v>20000049</v>
      </c>
      <c r="E66" s="18" t="s">
        <v>85</v>
      </c>
      <c r="F66" s="14">
        <v>5000</v>
      </c>
      <c r="G66" s="27"/>
      <c r="H66" s="25">
        <f t="shared" si="3"/>
        <v>1</v>
      </c>
    </row>
    <row r="67" spans="2:8" s="43" customFormat="1" ht="17.25" x14ac:dyDescent="0.3">
      <c r="B67" s="44">
        <f t="shared" si="1"/>
        <v>63</v>
      </c>
      <c r="C67" s="39" t="s">
        <v>50</v>
      </c>
      <c r="D67" s="26">
        <v>20000274</v>
      </c>
      <c r="E67" s="18" t="s">
        <v>90</v>
      </c>
      <c r="F67" s="14">
        <v>5000</v>
      </c>
      <c r="G67" s="27"/>
      <c r="H67" s="43">
        <f t="shared" si="3"/>
        <v>1</v>
      </c>
    </row>
    <row r="68" spans="2:8" s="5" customFormat="1" ht="17.25" x14ac:dyDescent="0.3">
      <c r="B68" s="6">
        <f t="shared" si="1"/>
        <v>64</v>
      </c>
      <c r="C68" s="7" t="s">
        <v>68</v>
      </c>
      <c r="D68" s="16">
        <v>20000090</v>
      </c>
      <c r="E68" s="15" t="s">
        <v>63</v>
      </c>
      <c r="F68" s="14">
        <v>5000</v>
      </c>
      <c r="G68" s="3" t="s">
        <v>91</v>
      </c>
      <c r="H68" s="5">
        <f t="shared" si="3"/>
        <v>1</v>
      </c>
    </row>
    <row r="69" spans="2:8" s="5" customFormat="1" ht="17.25" x14ac:dyDescent="0.3">
      <c r="B69" s="6">
        <f t="shared" ref="B69:B91" si="4">ROW()-4</f>
        <v>65</v>
      </c>
      <c r="C69" s="7" t="s">
        <v>68</v>
      </c>
      <c r="D69" s="16">
        <v>20000130</v>
      </c>
      <c r="E69" s="15" t="s">
        <v>64</v>
      </c>
      <c r="F69" s="14">
        <v>5000</v>
      </c>
      <c r="G69" s="3"/>
      <c r="H69" s="5">
        <f t="shared" si="3"/>
        <v>2</v>
      </c>
    </row>
    <row r="70" spans="2:8" s="5" customFormat="1" ht="17.25" x14ac:dyDescent="0.3">
      <c r="B70" s="6">
        <f t="shared" si="4"/>
        <v>66</v>
      </c>
      <c r="C70" s="7" t="s">
        <v>68</v>
      </c>
      <c r="D70" s="16">
        <v>20000124</v>
      </c>
      <c r="E70" s="15" t="s">
        <v>65</v>
      </c>
      <c r="F70" s="14">
        <v>5000</v>
      </c>
      <c r="G70" s="3"/>
      <c r="H70" s="5">
        <f t="shared" si="3"/>
        <v>1</v>
      </c>
    </row>
    <row r="71" spans="2:8" s="5" customFormat="1" ht="17.25" x14ac:dyDescent="0.3">
      <c r="B71" s="6">
        <f t="shared" si="4"/>
        <v>67</v>
      </c>
      <c r="C71" s="13" t="s">
        <v>68</v>
      </c>
      <c r="D71" s="16">
        <v>20000204</v>
      </c>
      <c r="E71" s="15" t="s">
        <v>66</v>
      </c>
      <c r="F71" s="14">
        <v>5000</v>
      </c>
      <c r="G71" s="3"/>
      <c r="H71" s="5">
        <f t="shared" si="3"/>
        <v>2</v>
      </c>
    </row>
    <row r="72" spans="2:8" s="5" customFormat="1" ht="17.25" x14ac:dyDescent="0.3">
      <c r="B72" s="6">
        <f t="shared" si="4"/>
        <v>68</v>
      </c>
      <c r="C72" s="13" t="s">
        <v>68</v>
      </c>
      <c r="D72" s="16">
        <v>20000206</v>
      </c>
      <c r="E72" s="15" t="s">
        <v>67</v>
      </c>
      <c r="F72" s="14">
        <v>5000</v>
      </c>
      <c r="G72" s="3"/>
      <c r="H72" s="5">
        <f t="shared" si="3"/>
        <v>2</v>
      </c>
    </row>
    <row r="73" spans="2:8" s="5" customFormat="1" ht="17.25" x14ac:dyDescent="0.3">
      <c r="B73" s="6">
        <f t="shared" si="4"/>
        <v>69</v>
      </c>
      <c r="C73" s="13" t="s">
        <v>68</v>
      </c>
      <c r="D73" s="26">
        <v>20000068</v>
      </c>
      <c r="E73" s="18" t="s">
        <v>78</v>
      </c>
      <c r="F73" s="14">
        <v>5000</v>
      </c>
      <c r="G73" s="27"/>
      <c r="H73" s="5">
        <f t="shared" si="3"/>
        <v>2</v>
      </c>
    </row>
    <row r="74" spans="2:8" s="25" customFormat="1" ht="17.25" x14ac:dyDescent="0.3">
      <c r="B74" s="6">
        <f t="shared" si="4"/>
        <v>70</v>
      </c>
      <c r="C74" s="13" t="s">
        <v>68</v>
      </c>
      <c r="D74" s="26">
        <v>20000064</v>
      </c>
      <c r="E74" s="18" t="s">
        <v>49</v>
      </c>
      <c r="F74" s="14">
        <v>5000</v>
      </c>
      <c r="G74" s="27"/>
      <c r="H74" s="25">
        <f t="shared" si="3"/>
        <v>2</v>
      </c>
    </row>
    <row r="75" spans="2:8" s="5" customFormat="1" ht="17.25" x14ac:dyDescent="0.3">
      <c r="B75" s="6">
        <f t="shared" si="4"/>
        <v>71</v>
      </c>
      <c r="C75" s="13" t="s">
        <v>68</v>
      </c>
      <c r="D75" s="26">
        <v>20000036</v>
      </c>
      <c r="E75" s="18" t="s">
        <v>82</v>
      </c>
      <c r="F75" s="14">
        <v>5000</v>
      </c>
      <c r="G75" s="27"/>
      <c r="H75" s="5">
        <f t="shared" si="3"/>
        <v>1</v>
      </c>
    </row>
    <row r="76" spans="2:8" s="5" customFormat="1" ht="17.25" x14ac:dyDescent="0.3">
      <c r="B76" s="6">
        <f t="shared" si="4"/>
        <v>72</v>
      </c>
      <c r="C76" s="13" t="s">
        <v>74</v>
      </c>
      <c r="D76" s="16">
        <v>20000013</v>
      </c>
      <c r="E76" s="15" t="s">
        <v>42</v>
      </c>
      <c r="F76" s="14">
        <v>10000</v>
      </c>
      <c r="G76" s="3" t="s">
        <v>91</v>
      </c>
      <c r="H76" s="5">
        <f t="shared" si="3"/>
        <v>2</v>
      </c>
    </row>
    <row r="77" spans="2:8" s="5" customFormat="1" ht="17.25" x14ac:dyDescent="0.3">
      <c r="B77" s="6">
        <f t="shared" si="4"/>
        <v>73</v>
      </c>
      <c r="C77" s="13" t="s">
        <v>74</v>
      </c>
      <c r="D77" s="7">
        <v>20000154</v>
      </c>
      <c r="E77" s="15" t="s">
        <v>69</v>
      </c>
      <c r="F77" s="14">
        <v>10000</v>
      </c>
      <c r="G77" s="3" t="s">
        <v>92</v>
      </c>
      <c r="H77" s="5">
        <f t="shared" si="3"/>
        <v>1</v>
      </c>
    </row>
    <row r="78" spans="2:8" s="5" customFormat="1" ht="17.25" x14ac:dyDescent="0.3">
      <c r="B78" s="6">
        <f t="shared" si="4"/>
        <v>74</v>
      </c>
      <c r="C78" s="13" t="s">
        <v>74</v>
      </c>
      <c r="D78" s="16">
        <v>20000021</v>
      </c>
      <c r="E78" s="15" t="s">
        <v>70</v>
      </c>
      <c r="F78" s="14">
        <v>10000</v>
      </c>
      <c r="G78" s="3"/>
      <c r="H78" s="5">
        <f t="shared" si="3"/>
        <v>1</v>
      </c>
    </row>
    <row r="79" spans="2:8" s="5" customFormat="1" ht="17.25" x14ac:dyDescent="0.3">
      <c r="B79" s="6">
        <f t="shared" si="4"/>
        <v>75</v>
      </c>
      <c r="C79" s="13" t="s">
        <v>74</v>
      </c>
      <c r="D79" s="16">
        <v>20000067</v>
      </c>
      <c r="E79" s="15" t="s">
        <v>71</v>
      </c>
      <c r="F79" s="14">
        <v>10000</v>
      </c>
      <c r="G79" s="3"/>
      <c r="H79" s="5">
        <f t="shared" si="3"/>
        <v>1</v>
      </c>
    </row>
    <row r="80" spans="2:8" s="5" customFormat="1" ht="17.25" x14ac:dyDescent="0.3">
      <c r="B80" s="6">
        <f t="shared" si="4"/>
        <v>76</v>
      </c>
      <c r="C80" s="13" t="s">
        <v>74</v>
      </c>
      <c r="D80" s="16">
        <v>20000142</v>
      </c>
      <c r="E80" s="15" t="s">
        <v>45</v>
      </c>
      <c r="F80" s="14">
        <v>10000</v>
      </c>
      <c r="G80" s="3"/>
      <c r="H80" s="5">
        <f t="shared" si="3"/>
        <v>2</v>
      </c>
    </row>
    <row r="81" spans="2:8" s="5" customFormat="1" ht="17.25" x14ac:dyDescent="0.3">
      <c r="B81" s="6">
        <f t="shared" si="4"/>
        <v>77</v>
      </c>
      <c r="C81" s="13" t="s">
        <v>74</v>
      </c>
      <c r="D81" s="16">
        <v>20000118</v>
      </c>
      <c r="E81" s="15" t="s">
        <v>46</v>
      </c>
      <c r="F81" s="14">
        <v>10000</v>
      </c>
      <c r="G81" s="3"/>
      <c r="H81" s="5">
        <f t="shared" si="3"/>
        <v>2</v>
      </c>
    </row>
    <row r="82" spans="2:8" s="5" customFormat="1" ht="17.25" x14ac:dyDescent="0.3">
      <c r="B82" s="6">
        <f t="shared" si="4"/>
        <v>78</v>
      </c>
      <c r="C82" s="13" t="s">
        <v>74</v>
      </c>
      <c r="D82" s="16">
        <v>20000022</v>
      </c>
      <c r="E82" s="15" t="s">
        <v>72</v>
      </c>
      <c r="F82" s="14">
        <v>10000</v>
      </c>
      <c r="G82" s="3"/>
      <c r="H82" s="5">
        <f t="shared" si="3"/>
        <v>1</v>
      </c>
    </row>
    <row r="83" spans="2:8" s="5" customFormat="1" ht="17.25" x14ac:dyDescent="0.3">
      <c r="B83" s="6">
        <f t="shared" si="4"/>
        <v>79</v>
      </c>
      <c r="C83" s="13" t="s">
        <v>74</v>
      </c>
      <c r="D83" s="16">
        <v>20000016</v>
      </c>
      <c r="E83" s="15" t="s">
        <v>73</v>
      </c>
      <c r="F83" s="14">
        <v>10000</v>
      </c>
      <c r="G83" s="3"/>
      <c r="H83" s="5">
        <f t="shared" si="3"/>
        <v>1</v>
      </c>
    </row>
    <row r="84" spans="2:8" s="5" customFormat="1" ht="17.25" x14ac:dyDescent="0.3">
      <c r="B84" s="6">
        <f t="shared" si="4"/>
        <v>80</v>
      </c>
      <c r="C84" s="13" t="s">
        <v>74</v>
      </c>
      <c r="D84" s="26">
        <v>20000015</v>
      </c>
      <c r="E84" s="18" t="s">
        <v>86</v>
      </c>
      <c r="F84" s="14">
        <v>10000</v>
      </c>
      <c r="G84" s="27"/>
      <c r="H84" s="5">
        <f t="shared" si="3"/>
        <v>1</v>
      </c>
    </row>
    <row r="85" spans="2:8" s="25" customFormat="1" ht="17.25" customHeight="1" x14ac:dyDescent="0.3">
      <c r="B85" s="6">
        <f t="shared" si="4"/>
        <v>81</v>
      </c>
      <c r="C85" s="13" t="s">
        <v>87</v>
      </c>
      <c r="D85" s="17">
        <v>20000177</v>
      </c>
      <c r="E85" s="12" t="s">
        <v>33</v>
      </c>
      <c r="F85" s="14">
        <v>10000</v>
      </c>
      <c r="G85" s="24"/>
      <c r="H85" s="25">
        <f t="shared" si="3"/>
        <v>2</v>
      </c>
    </row>
    <row r="86" spans="2:8" s="5" customFormat="1" ht="17.25" x14ac:dyDescent="0.3">
      <c r="B86" s="6">
        <f t="shared" si="4"/>
        <v>82</v>
      </c>
      <c r="C86" s="13" t="s">
        <v>79</v>
      </c>
      <c r="D86" s="26">
        <v>20000206</v>
      </c>
      <c r="E86" s="18" t="s">
        <v>67</v>
      </c>
      <c r="F86" s="14">
        <v>5000</v>
      </c>
      <c r="G86" s="27" t="s">
        <v>91</v>
      </c>
      <c r="H86" s="5">
        <f t="shared" si="3"/>
        <v>2</v>
      </c>
    </row>
    <row r="87" spans="2:8" s="5" customFormat="1" ht="17.25" x14ac:dyDescent="0.3">
      <c r="B87" s="6">
        <f t="shared" si="4"/>
        <v>83</v>
      </c>
      <c r="C87" s="13" t="s">
        <v>79</v>
      </c>
      <c r="D87" s="26">
        <v>20000130</v>
      </c>
      <c r="E87" s="18" t="s">
        <v>64</v>
      </c>
      <c r="F87" s="14">
        <v>5000</v>
      </c>
      <c r="G87" s="27"/>
      <c r="H87" s="5">
        <f t="shared" si="3"/>
        <v>2</v>
      </c>
    </row>
    <row r="88" spans="2:8" s="5" customFormat="1" ht="17.25" x14ac:dyDescent="0.3">
      <c r="B88" s="6">
        <f t="shared" si="4"/>
        <v>84</v>
      </c>
      <c r="C88" s="13" t="s">
        <v>79</v>
      </c>
      <c r="D88" s="26">
        <v>20000186</v>
      </c>
      <c r="E88" s="18" t="s">
        <v>80</v>
      </c>
      <c r="F88" s="14">
        <v>5000</v>
      </c>
      <c r="G88" s="27"/>
      <c r="H88" s="5">
        <f t="shared" si="3"/>
        <v>1</v>
      </c>
    </row>
    <row r="89" spans="2:8" s="5" customFormat="1" ht="17.25" x14ac:dyDescent="0.3">
      <c r="B89" s="6">
        <f t="shared" si="4"/>
        <v>85</v>
      </c>
      <c r="C89" s="13" t="s">
        <v>79</v>
      </c>
      <c r="D89" s="26">
        <v>20000038</v>
      </c>
      <c r="E89" s="18" t="s">
        <v>26</v>
      </c>
      <c r="F89" s="14">
        <v>5000</v>
      </c>
      <c r="G89" s="27"/>
      <c r="H89" s="5">
        <f t="shared" si="3"/>
        <v>2</v>
      </c>
    </row>
    <row r="90" spans="2:8" s="5" customFormat="1" ht="17.25" x14ac:dyDescent="0.3">
      <c r="B90" s="6">
        <f t="shared" si="4"/>
        <v>86</v>
      </c>
      <c r="C90" s="13" t="s">
        <v>79</v>
      </c>
      <c r="D90" s="26">
        <v>20000044</v>
      </c>
      <c r="E90" s="18" t="s">
        <v>81</v>
      </c>
      <c r="F90" s="14">
        <v>5000</v>
      </c>
      <c r="G90" s="27"/>
      <c r="H90" s="5">
        <f t="shared" si="3"/>
        <v>1</v>
      </c>
    </row>
    <row r="91" spans="2:8" s="5" customFormat="1" ht="17.25" x14ac:dyDescent="0.3">
      <c r="B91" s="6">
        <f t="shared" si="4"/>
        <v>87</v>
      </c>
      <c r="C91" s="13" t="s">
        <v>79</v>
      </c>
      <c r="D91" s="26">
        <v>20000177</v>
      </c>
      <c r="E91" s="18" t="s">
        <v>33</v>
      </c>
      <c r="F91" s="14">
        <v>5000</v>
      </c>
      <c r="G91" s="27"/>
      <c r="H91" s="5">
        <f t="shared" si="3"/>
        <v>2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4월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임나영 (LIM NA YOUNG)</dc:creator>
  <cp:lastModifiedBy>정영욱 (JEONG YOUNG WOOK)</cp:lastModifiedBy>
  <dcterms:created xsi:type="dcterms:W3CDTF">2024-03-20T23:48:01Z</dcterms:created>
  <dcterms:modified xsi:type="dcterms:W3CDTF">2026-06-08T09:33:18Z</dcterms:modified>
</cp:coreProperties>
</file>